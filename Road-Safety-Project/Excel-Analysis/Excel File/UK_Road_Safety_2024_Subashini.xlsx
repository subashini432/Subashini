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RoadSafety\"/>
    </mc:Choice>
  </mc:AlternateContent>
  <xr:revisionPtr revIDLastSave="0" documentId="13_ncr:1_{732D5233-7D22-45F2-8C64-9493C344DC35}" xr6:coauthVersionLast="47" xr6:coauthVersionMax="47" xr10:uidLastSave="{00000000-0000-0000-0000-000000000000}"/>
  <bookViews>
    <workbookView xWindow="-110" yWindow="-110" windowWidth="19420" windowHeight="10300" activeTab="3" xr2:uid="{C47C72C8-4414-457F-857A-6894F81D2A98}"/>
  </bookViews>
  <sheets>
    <sheet name="Summary" sheetId="1" r:id="rId1"/>
    <sheet name="Severity Analysis" sheetId="5" r:id="rId2"/>
    <sheet name="Day Analysis" sheetId="6" r:id="rId3"/>
    <sheet name="Dashboard" sheetId="4" r:id="rId4"/>
  </sheets>
  <definedNames>
    <definedName name="ExternalData_1" localSheetId="2" hidden="1">'Day Analysis'!$A$1:$E$8</definedName>
    <definedName name="ExternalData_1" localSheetId="1" hidden="1">'Severity Analysis'!$A$1:$C$4</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7E5DF9-E792-4900-89A3-27809E87ADE1}" keepAlive="1" name="Query - day_of_week" description="Connection to the 'day_of_week' query in the workbook." type="5" refreshedVersion="8" background="1" saveData="1">
    <dbPr connection="Provider=Microsoft.Mashup.OleDb.1;Data Source=$Workbook$;Location=day_of_week;Extended Properties=&quot;&quot;" command="SELECT * FROM [day_of_week]"/>
  </connection>
  <connection id="2" xr16:uid="{FEE6F744-BE9D-42DE-B598-1AFD9F0412BC}" keepAlive="1" name="Query - severity_breakdown" description="Connection to the 'severity_breakdown' query in the workbook." type="5" refreshedVersion="8" background="1" saveData="1">
    <dbPr connection="Provider=Microsoft.Mashup.OleDb.1;Data Source=$Workbook$;Location=severity_breakdown;Extended Properties=&quot;&quot;" command="SELECT * FROM [severity_breakdown]"/>
  </connection>
</connections>
</file>

<file path=xl/sharedStrings.xml><?xml version="1.0" encoding="utf-8"?>
<sst xmlns="http://schemas.openxmlformats.org/spreadsheetml/2006/main" count="53" uniqueCount="41">
  <si>
    <t>severity_type</t>
  </si>
  <si>
    <t>total</t>
  </si>
  <si>
    <t>percentage</t>
  </si>
  <si>
    <t>Slight</t>
  </si>
  <si>
    <t>Serious</t>
  </si>
  <si>
    <t>Fatal</t>
  </si>
  <si>
    <t>day_name</t>
  </si>
  <si>
    <t>total_accidents</t>
  </si>
  <si>
    <t>fatal</t>
  </si>
  <si>
    <t>serious</t>
  </si>
  <si>
    <t>slight</t>
  </si>
  <si>
    <t>Friday</t>
  </si>
  <si>
    <t>Thursday</t>
  </si>
  <si>
    <t>Wednesday</t>
  </si>
  <si>
    <t>Tuesday</t>
  </si>
  <si>
    <t>Monday</t>
  </si>
  <si>
    <t>Saturday</t>
  </si>
  <si>
    <t>Sunday</t>
  </si>
  <si>
    <t>UK Road Safety Analysis 2024</t>
  </si>
  <si>
    <t>Data Source: UK Department for Transport | Analyst: Subashini| Date: May 2026</t>
  </si>
  <si>
    <t>PROJECT OVERVIEW</t>
  </si>
  <si>
    <t>This analysis examines 100,927 road collisions reported in Great Britain
during 2024 using data from the UK Department for Transport STATS19 system.
The dataset includes collision details, casualties and vehicle information.</t>
  </si>
  <si>
    <t>KEY FINDINGS</t>
  </si>
  <si>
    <t>RECOMMENDATIONS</t>
  </si>
  <si>
    <t>1. SEVERITY: 75.16% of accidents were slight, 23.35% serious and 1.49% fatal
   — approximately 4 people die on UK roads every single day
2. DAY OF WEEK: Friday was most dangerous with 16,444 accidents
   — Sunday was safest with 11,388 accidents
3. TIME OF DAY: Peak accident hours are 5PM (8,784) and 4PM (8,487)
   — coinciding with evening rush hour traffic
4. ROAD TYPE: Single carriageway roads account for majority of accidents
   — despite lower speed limits than motorways
5. URBAN VS RURAL: Urban areas had more accidents (67,304 vs 33,620)
   — but Rural areas had higher fatal percentage due to higher speeds
6. DRIVER AGE: Drivers aged 26-35 most frequently involved (35,205)
   — older drivers 56-65 showed higher fatality rate relative to accident count
7. WEATHER: Most accidents occurred in fine weather (no wind)
   — showing overconfidence in good conditions is a key risk factor</t>
  </si>
  <si>
    <t>1. Increase road patrols on Fridays during peak hours 4PM to 6PM
2. Implement targeted road safety campaigns for drivers aged 26-35
3. Improve single carriageway road infrastructure and signage
4. Install additional speed enforcement on rural roads to reduce fatal rate
5. Launch public awareness campaign about overconfidence in fine weather</t>
  </si>
  <si>
    <t>DATA QUALITY NOTES</t>
  </si>
  <si>
    <t>Row Labels</t>
  </si>
  <si>
    <t>Grand Total</t>
  </si>
  <si>
    <t>Total Accidents</t>
  </si>
  <si>
    <t xml:space="preserve"> Percentage(%)</t>
  </si>
  <si>
    <t>serious Count</t>
  </si>
  <si>
    <t>Total Accidents Count</t>
  </si>
  <si>
    <t>Fatal Count</t>
  </si>
  <si>
    <t>UK Road Safety 2024 — Excel Summary Dashboard</t>
  </si>
  <si>
    <t>Total Accidents
100927</t>
  </si>
  <si>
    <t>Total Fatal
1502</t>
  </si>
  <si>
    <t>Total Casualties
128272</t>
  </si>
  <si>
    <t>Total Serious
23567</t>
  </si>
  <si>
    <t>Fatal Rate
1.49%</t>
  </si>
  <si>
    <t>1. Zero NULL values found in all key columns confirming complete dataset 
2. 3 records with invalid speed limit (-1) excluded from speed analysis
3. 2,552 casualty records with invalid age (-1) excluded from age analysis
4. 3 records with unclassified urban/rural code labelled as Urban or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</si>
</sst>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b/>
      <sz val="20"/>
      <color rgb="FF1A2E4A"/>
      <name val="Aptos Narrow"/>
      <scheme val="minor"/>
    </font>
    <font>
      <sz val="11"/>
      <color theme="2" tint="-0.249977111117893"/>
      <name val="Aptos Narrow"/>
      <family val="2"/>
      <scheme val="minor"/>
    </font>
    <font>
      <sz val="11"/>
      <color theme="2" tint="-0.499984740745262"/>
      <name val="Aptos Narrow"/>
      <family val="2"/>
      <scheme val="minor"/>
    </font>
    <font>
      <b/>
      <sz val="13"/>
      <color theme="0"/>
      <name val="Aptos Narrow"/>
      <scheme val="minor"/>
    </font>
    <font>
      <b/>
      <sz val="20"/>
      <color theme="0"/>
      <name val="Aptos Narrow"/>
      <scheme val="minor"/>
    </font>
    <font>
      <b/>
      <sz val="14"/>
      <color theme="1"/>
      <name val="Aptos Narrow"/>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left"/>
    </xf>
    <xf numFmtId="0" fontId="3" fillId="0" borderId="0" xfId="0" applyFont="1"/>
    <xf numFmtId="0" fontId="0" fillId="0" borderId="0" xfId="0" pivotButton="1"/>
    <xf numFmtId="0" fontId="0" fillId="2" borderId="0" xfId="0" applyFill="1"/>
    <xf numFmtId="0" fontId="2" fillId="0" borderId="0" xfId="0" applyFont="1" applyAlignment="1">
      <alignment horizontal="center"/>
    </xf>
    <xf numFmtId="0" fontId="4" fillId="0" borderId="0" xfId="0" applyFont="1" applyAlignment="1">
      <alignment horizontal="center"/>
    </xf>
    <xf numFmtId="0" fontId="5" fillId="2" borderId="0" xfId="0" applyFont="1" applyFill="1" applyAlignment="1">
      <alignment horizontal="center"/>
    </xf>
    <xf numFmtId="0" fontId="0" fillId="0" borderId="0" xfId="0" applyAlignment="1">
      <alignment horizontal="left" vertical="top" wrapText="1"/>
    </xf>
    <xf numFmtId="0" fontId="0" fillId="0" borderId="0" xfId="0" applyAlignment="1">
      <alignment horizontal="left" vertical="top"/>
    </xf>
    <xf numFmtId="0" fontId="7" fillId="0" borderId="0" xfId="0" applyFont="1" applyAlignment="1">
      <alignment horizontal="center" vertical="center" wrapText="1"/>
    </xf>
    <xf numFmtId="0" fontId="7" fillId="0" borderId="0" xfId="0" applyFont="1" applyAlignment="1">
      <alignment horizontal="center" vertical="center"/>
    </xf>
    <xf numFmtId="0" fontId="6" fillId="2" borderId="0" xfId="0" applyFont="1" applyFill="1" applyAlignment="1">
      <alignment horizontal="center"/>
    </xf>
  </cellXfs>
  <cellStyles count="1">
    <cellStyle name="Normal" xfId="0" builtinId="0"/>
  </cellStyles>
  <dxfs count="2">
    <dxf>
      <numFmt numFmtId="0" formatCode="General"/>
    </dxf>
    <dxf>
      <numFmt numFmtId="0" formatCode="General"/>
    </dxf>
  </dxfs>
  <tableStyles count="0" defaultTableStyle="TableStyleMedium2" defaultPivotStyle="PivotStyleLight16"/>
  <colors>
    <mruColors>
      <color rgb="FFC00000"/>
      <color rgb="FFED7D31"/>
      <color rgb="FF1A2E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[road safety Excel.xlsx]Severity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50" b="0" i="0" u="none" strike="noStrike" baseline="0"/>
              <a:t>Accident Severity Breakdown </a:t>
            </a:r>
            <a:endParaRPr lang="en-GB"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1.1271665619572047E-2"/>
              <c:y val="-3.8344921080146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'Severity Analysis'!$F$1</c:f>
              <c:strCache>
                <c:ptCount val="1"/>
                <c:pt idx="0">
                  <c:v>Total Accidents</c:v>
                </c:pt>
              </c:strCache>
            </c:strRef>
          </c:tx>
          <c:explosion val="2"/>
          <c:dPt>
            <c:idx val="0"/>
            <c:bubble3D val="0"/>
            <c:spPr>
              <a:solidFill>
                <a:srgbClr val="FF0000"/>
              </a:solidFill>
              <a:ln w="19050">
                <a:solidFill>
                  <a:schemeClr val="lt1"/>
                </a:solidFill>
              </a:ln>
              <a:effectLst/>
            </c:spPr>
            <c:extLst>
              <c:ext xmlns:c16="http://schemas.microsoft.com/office/drawing/2014/chart" uri="{C3380CC4-5D6E-409C-BE32-E72D297353CC}">
                <c16:uniqueId val="{00000004-32FE-42D9-AA05-A2B3EC7A8D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FE-42D9-AA05-A2B3EC7A8D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FE-42D9-AA05-A2B3EC7A8D7B}"/>
              </c:ext>
            </c:extLst>
          </c:dPt>
          <c:dLbls>
            <c:dLbl>
              <c:idx val="2"/>
              <c:layout>
                <c:manualLayout>
                  <c:x val="-1.1271665619572047E-2"/>
                  <c:y val="-3.834492108014687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FE-42D9-AA05-A2B3EC7A8D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'Severity Analysis'!$E$2:$E$5</c:f>
              <c:strCache>
                <c:ptCount val="3"/>
                <c:pt idx="0">
                  <c:v>Fatal</c:v>
                </c:pt>
                <c:pt idx="1">
                  <c:v>Serious</c:v>
                </c:pt>
                <c:pt idx="2">
                  <c:v>Slight</c:v>
                </c:pt>
              </c:strCache>
            </c:strRef>
          </c:cat>
          <c:val>
            <c:numRef>
              <c:f>'Severity Analysis'!$F$2:$F$5</c:f>
              <c:numCache>
                <c:formatCode>General</c:formatCode>
                <c:ptCount val="3"/>
                <c:pt idx="0">
                  <c:v>1502</c:v>
                </c:pt>
                <c:pt idx="1">
                  <c:v>23567</c:v>
                </c:pt>
                <c:pt idx="2">
                  <c:v>75858</c:v>
                </c:pt>
              </c:numCache>
            </c:numRef>
          </c:val>
          <c:extLst>
            <c:ext xmlns:c16="http://schemas.microsoft.com/office/drawing/2014/chart" uri="{C3380CC4-5D6E-409C-BE32-E72D297353CC}">
              <c16:uniqueId val="{00000000-32FE-42D9-AA05-A2B3EC7A8D7B}"/>
            </c:ext>
          </c:extLst>
        </c:ser>
        <c:ser>
          <c:idx val="1"/>
          <c:order val="1"/>
          <c:tx>
            <c:strRef>
              <c:f>'Severity Analysis'!$G$1</c:f>
              <c:strCache>
                <c:ptCount val="1"/>
                <c:pt idx="0">
                  <c:v> 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65B-4EFE-80BB-8FAE6A17AF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65B-4EFE-80BB-8FAE6A17AF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65B-4EFE-80BB-8FAE6A17AF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'Severity Analysis'!$E$2:$E$5</c:f>
              <c:strCache>
                <c:ptCount val="3"/>
                <c:pt idx="0">
                  <c:v>Fatal</c:v>
                </c:pt>
                <c:pt idx="1">
                  <c:v>Serious</c:v>
                </c:pt>
                <c:pt idx="2">
                  <c:v>Slight</c:v>
                </c:pt>
              </c:strCache>
            </c:strRef>
          </c:cat>
          <c:val>
            <c:numRef>
              <c:f>'Severity Analysis'!$G$2:$G$5</c:f>
              <c:numCache>
                <c:formatCode>General</c:formatCode>
                <c:ptCount val="3"/>
                <c:pt idx="0">
                  <c:v>1.49</c:v>
                </c:pt>
                <c:pt idx="1">
                  <c:v>23.35</c:v>
                </c:pt>
                <c:pt idx="2">
                  <c:v>75.16</c:v>
                </c:pt>
              </c:numCache>
            </c:numRef>
          </c:val>
          <c:extLst>
            <c:ext xmlns:c16="http://schemas.microsoft.com/office/drawing/2014/chart" uri="{C3380CC4-5D6E-409C-BE32-E72D297353CC}">
              <c16:uniqueId val="{00000001-32FE-42D9-AA05-A2B3EC7A8D7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[road safety Excel.xlsx]Day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50" b="0" i="0" u="none" strike="noStrike" baseline="0"/>
              <a:t>Accidents by Day of Week </a:t>
            </a:r>
          </a:p>
        </c:rich>
      </c:tx>
      <c:layout>
        <c:manualLayout>
          <c:xMode val="edge"/>
          <c:yMode val="edge"/>
          <c:x val="0.30743975903614457"/>
          <c:y val="0.158887689115902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A2E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A2E4A"/>
          </a:solidFill>
          <a:ln>
            <a:noFill/>
          </a:ln>
          <a:effectLst/>
        </c:spPr>
      </c:pivotFmt>
    </c:pivotFmts>
    <c:plotArea>
      <c:layout/>
      <c:barChart>
        <c:barDir val="bar"/>
        <c:grouping val="clustered"/>
        <c:varyColors val="0"/>
        <c:ser>
          <c:idx val="0"/>
          <c:order val="0"/>
          <c:tx>
            <c:strRef>
              <c:f>'Day Analysis'!$H$1</c:f>
              <c:strCache>
                <c:ptCount val="1"/>
                <c:pt idx="0">
                  <c:v>Total Accidents Count</c:v>
                </c:pt>
              </c:strCache>
            </c:strRef>
          </c:tx>
          <c:spPr>
            <a:solidFill>
              <a:srgbClr val="1A2E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Analysis'!$G$2:$G$9</c:f>
              <c:strCache>
                <c:ptCount val="7"/>
                <c:pt idx="0">
                  <c:v>Friday</c:v>
                </c:pt>
                <c:pt idx="1">
                  <c:v>Thursday</c:v>
                </c:pt>
                <c:pt idx="2">
                  <c:v>Wednesday</c:v>
                </c:pt>
                <c:pt idx="3">
                  <c:v>Tuesday</c:v>
                </c:pt>
                <c:pt idx="4">
                  <c:v>Monday</c:v>
                </c:pt>
                <c:pt idx="5">
                  <c:v>Saturday</c:v>
                </c:pt>
                <c:pt idx="6">
                  <c:v>Sunday</c:v>
                </c:pt>
              </c:strCache>
            </c:strRef>
          </c:cat>
          <c:val>
            <c:numRef>
              <c:f>'Day Analysis'!$H$2:$H$9</c:f>
              <c:numCache>
                <c:formatCode>General</c:formatCode>
                <c:ptCount val="7"/>
                <c:pt idx="0">
                  <c:v>16444</c:v>
                </c:pt>
                <c:pt idx="1">
                  <c:v>15461</c:v>
                </c:pt>
                <c:pt idx="2">
                  <c:v>14915</c:v>
                </c:pt>
                <c:pt idx="3">
                  <c:v>14897</c:v>
                </c:pt>
                <c:pt idx="4">
                  <c:v>14051</c:v>
                </c:pt>
                <c:pt idx="5">
                  <c:v>13771</c:v>
                </c:pt>
                <c:pt idx="6">
                  <c:v>11388</c:v>
                </c:pt>
              </c:numCache>
            </c:numRef>
          </c:val>
          <c:extLst>
            <c:ext xmlns:c16="http://schemas.microsoft.com/office/drawing/2014/chart" uri="{C3380CC4-5D6E-409C-BE32-E72D297353CC}">
              <c16:uniqueId val="{00000000-8C15-4A3E-B436-BA877C1321A5}"/>
            </c:ext>
          </c:extLst>
        </c:ser>
        <c:ser>
          <c:idx val="1"/>
          <c:order val="1"/>
          <c:tx>
            <c:strRef>
              <c:f>'Day Analysis'!$I$1</c:f>
              <c:strCache>
                <c:ptCount val="1"/>
                <c:pt idx="0">
                  <c:v>serious Count</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Analysis'!$G$2:$G$9</c:f>
              <c:strCache>
                <c:ptCount val="7"/>
                <c:pt idx="0">
                  <c:v>Friday</c:v>
                </c:pt>
                <c:pt idx="1">
                  <c:v>Thursday</c:v>
                </c:pt>
                <c:pt idx="2">
                  <c:v>Wednesday</c:v>
                </c:pt>
                <c:pt idx="3">
                  <c:v>Tuesday</c:v>
                </c:pt>
                <c:pt idx="4">
                  <c:v>Monday</c:v>
                </c:pt>
                <c:pt idx="5">
                  <c:v>Saturday</c:v>
                </c:pt>
                <c:pt idx="6">
                  <c:v>Sunday</c:v>
                </c:pt>
              </c:strCache>
            </c:strRef>
          </c:cat>
          <c:val>
            <c:numRef>
              <c:f>'Day Analysis'!$I$2:$I$9</c:f>
              <c:numCache>
                <c:formatCode>General</c:formatCode>
                <c:ptCount val="7"/>
                <c:pt idx="0">
                  <c:v>3773</c:v>
                </c:pt>
                <c:pt idx="1">
                  <c:v>3410</c:v>
                </c:pt>
                <c:pt idx="2">
                  <c:v>3370</c:v>
                </c:pt>
                <c:pt idx="3">
                  <c:v>3275</c:v>
                </c:pt>
                <c:pt idx="4">
                  <c:v>3220</c:v>
                </c:pt>
                <c:pt idx="5">
                  <c:v>3527</c:v>
                </c:pt>
                <c:pt idx="6">
                  <c:v>2992</c:v>
                </c:pt>
              </c:numCache>
            </c:numRef>
          </c:val>
          <c:extLst>
            <c:ext xmlns:c16="http://schemas.microsoft.com/office/drawing/2014/chart" uri="{C3380CC4-5D6E-409C-BE32-E72D297353CC}">
              <c16:uniqueId val="{00000001-8C15-4A3E-B436-BA877C1321A5}"/>
            </c:ext>
          </c:extLst>
        </c:ser>
        <c:ser>
          <c:idx val="2"/>
          <c:order val="2"/>
          <c:tx>
            <c:strRef>
              <c:f>'Day Analysis'!$J$1</c:f>
              <c:strCache>
                <c:ptCount val="1"/>
                <c:pt idx="0">
                  <c:v>Fatal Count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Analysis'!$G$2:$G$9</c:f>
              <c:strCache>
                <c:ptCount val="7"/>
                <c:pt idx="0">
                  <c:v>Friday</c:v>
                </c:pt>
                <c:pt idx="1">
                  <c:v>Thursday</c:v>
                </c:pt>
                <c:pt idx="2">
                  <c:v>Wednesday</c:v>
                </c:pt>
                <c:pt idx="3">
                  <c:v>Tuesday</c:v>
                </c:pt>
                <c:pt idx="4">
                  <c:v>Monday</c:v>
                </c:pt>
                <c:pt idx="5">
                  <c:v>Saturday</c:v>
                </c:pt>
                <c:pt idx="6">
                  <c:v>Sunday</c:v>
                </c:pt>
              </c:strCache>
            </c:strRef>
          </c:cat>
          <c:val>
            <c:numRef>
              <c:f>'Day Analysis'!$J$2:$J$9</c:f>
              <c:numCache>
                <c:formatCode>General</c:formatCode>
                <c:ptCount val="7"/>
                <c:pt idx="0">
                  <c:v>219</c:v>
                </c:pt>
                <c:pt idx="1">
                  <c:v>201</c:v>
                </c:pt>
                <c:pt idx="2">
                  <c:v>189</c:v>
                </c:pt>
                <c:pt idx="3">
                  <c:v>216</c:v>
                </c:pt>
                <c:pt idx="4">
                  <c:v>217</c:v>
                </c:pt>
                <c:pt idx="5">
                  <c:v>227</c:v>
                </c:pt>
                <c:pt idx="6">
                  <c:v>233</c:v>
                </c:pt>
              </c:numCache>
            </c:numRef>
          </c:val>
          <c:extLst>
            <c:ext xmlns:c16="http://schemas.microsoft.com/office/drawing/2014/chart" uri="{C3380CC4-5D6E-409C-BE32-E72D297353CC}">
              <c16:uniqueId val="{00000002-8C15-4A3E-B436-BA877C1321A5}"/>
            </c:ext>
          </c:extLst>
        </c:ser>
        <c:dLbls>
          <c:showLegendKey val="0"/>
          <c:showVal val="1"/>
          <c:showCatName val="0"/>
          <c:showSerName val="0"/>
          <c:showPercent val="0"/>
          <c:showBubbleSize val="0"/>
        </c:dLbls>
        <c:gapWidth val="182"/>
        <c:axId val="1120883888"/>
        <c:axId val="1120882928"/>
      </c:barChart>
      <c:catAx>
        <c:axId val="1120883888"/>
        <c:scaling>
          <c:orientation val="minMax"/>
        </c:scaling>
        <c:delete val="0"/>
        <c:axPos val="l"/>
        <c:numFmt formatCode="General" sourceLinked="1"/>
        <c:majorTickMark val="none"/>
        <c:minorTickMark val="none"/>
        <c:tickLblPos val="nextTo"/>
        <c:spPr>
          <a:noFill/>
          <a:ln w="9525" cap="flat" cmpd="sng" algn="ctr">
            <a:solidFill>
              <a:schemeClr val="accent1">
                <a:alpha val="96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82928"/>
        <c:crosses val="autoZero"/>
        <c:auto val="0"/>
        <c:lblAlgn val="ctr"/>
        <c:lblOffset val="100"/>
        <c:noMultiLvlLbl val="0"/>
      </c:catAx>
      <c:valAx>
        <c:axId val="112088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8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[road safety Excel.xlsx]Severity Analysis!PivotTable1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50" b="0" i="0" u="none" strike="noStrike" baseline="0"/>
              <a:t>Accident Severity Breakdown </a:t>
            </a:r>
            <a:endParaRPr lang="en-GB"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FF0000"/>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'Severity Analysis'!$F$1</c:f>
              <c:strCache>
                <c:ptCount val="1"/>
                <c:pt idx="0">
                  <c:v>Total Accidents</c:v>
                </c:pt>
              </c:strCache>
            </c:strRef>
          </c:tx>
          <c:explosion val="2"/>
          <c:dPt>
            <c:idx val="0"/>
            <c:bubble3D val="0"/>
            <c:spPr>
              <a:solidFill>
                <a:srgbClr val="FF0000"/>
              </a:solidFill>
              <a:ln w="19050">
                <a:solidFill>
                  <a:schemeClr val="lt1"/>
                </a:solidFill>
              </a:ln>
              <a:effectLst/>
            </c:spPr>
            <c:extLst>
              <c:ext xmlns:c16="http://schemas.microsoft.com/office/drawing/2014/chart" uri="{C3380CC4-5D6E-409C-BE32-E72D297353CC}">
                <c16:uniqueId val="{00000001-E580-47D3-BF2C-6DE4712655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80-47D3-BF2C-6DE4712655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80-47D3-BF2C-6DE4712655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'Severity Analysis'!$E$2:$E$5</c:f>
              <c:strCache>
                <c:ptCount val="3"/>
                <c:pt idx="0">
                  <c:v>Fatal</c:v>
                </c:pt>
                <c:pt idx="1">
                  <c:v>Serious</c:v>
                </c:pt>
                <c:pt idx="2">
                  <c:v>Slight</c:v>
                </c:pt>
              </c:strCache>
            </c:strRef>
          </c:cat>
          <c:val>
            <c:numRef>
              <c:f>'Severity Analysis'!$F$2:$F$5</c:f>
              <c:numCache>
                <c:formatCode>General</c:formatCode>
                <c:ptCount val="3"/>
                <c:pt idx="0">
                  <c:v>1502</c:v>
                </c:pt>
                <c:pt idx="1">
                  <c:v>23567</c:v>
                </c:pt>
                <c:pt idx="2">
                  <c:v>75858</c:v>
                </c:pt>
              </c:numCache>
            </c:numRef>
          </c:val>
          <c:extLst>
            <c:ext xmlns:c16="http://schemas.microsoft.com/office/drawing/2014/chart" uri="{C3380CC4-5D6E-409C-BE32-E72D297353CC}">
              <c16:uniqueId val="{00000006-E580-47D3-BF2C-6DE4712655A7}"/>
            </c:ext>
          </c:extLst>
        </c:ser>
        <c:ser>
          <c:idx val="1"/>
          <c:order val="1"/>
          <c:tx>
            <c:strRef>
              <c:f>'Severity Analysis'!$G$1</c:f>
              <c:strCache>
                <c:ptCount val="1"/>
                <c:pt idx="0">
                  <c:v> 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580-47D3-BF2C-6DE4712655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580-47D3-BF2C-6DE4712655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580-47D3-BF2C-6DE4712655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'Severity Analysis'!$E$2:$E$5</c:f>
              <c:strCache>
                <c:ptCount val="3"/>
                <c:pt idx="0">
                  <c:v>Fatal</c:v>
                </c:pt>
                <c:pt idx="1">
                  <c:v>Serious</c:v>
                </c:pt>
                <c:pt idx="2">
                  <c:v>Slight</c:v>
                </c:pt>
              </c:strCache>
            </c:strRef>
          </c:cat>
          <c:val>
            <c:numRef>
              <c:f>'Severity Analysis'!$G$2:$G$5</c:f>
              <c:numCache>
                <c:formatCode>General</c:formatCode>
                <c:ptCount val="3"/>
                <c:pt idx="0">
                  <c:v>1.49</c:v>
                </c:pt>
                <c:pt idx="1">
                  <c:v>23.35</c:v>
                </c:pt>
                <c:pt idx="2">
                  <c:v>75.16</c:v>
                </c:pt>
              </c:numCache>
            </c:numRef>
          </c:val>
          <c:extLst>
            <c:ext xmlns:c16="http://schemas.microsoft.com/office/drawing/2014/chart" uri="{C3380CC4-5D6E-409C-BE32-E72D297353CC}">
              <c16:uniqueId val="{0000000D-E580-47D3-BF2C-6DE4712655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[road safety Excel.xlsx]Day 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50" b="0" i="0" u="none" strike="noStrike" baseline="0"/>
              <a:t>Accidents by Day of Week </a:t>
            </a:r>
          </a:p>
        </c:rich>
      </c:tx>
      <c:layout>
        <c:manualLayout>
          <c:xMode val="edge"/>
          <c:yMode val="edge"/>
          <c:x val="0.30743975903614457"/>
          <c:y val="0.158887689115902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A2E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A2E4A"/>
          </a:solidFill>
          <a:ln>
            <a:noFill/>
          </a:ln>
          <a:effectLst/>
        </c:spPr>
      </c:pivotFmt>
      <c:pivotFmt>
        <c:idx val="4"/>
        <c:spPr>
          <a:solidFill>
            <a:srgbClr val="1A2E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A2E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 Analysis'!$H$1</c:f>
              <c:strCache>
                <c:ptCount val="1"/>
                <c:pt idx="0">
                  <c:v>Total Accidents Count</c:v>
                </c:pt>
              </c:strCache>
            </c:strRef>
          </c:tx>
          <c:spPr>
            <a:solidFill>
              <a:srgbClr val="1A2E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Analysis'!$G$2:$G$9</c:f>
              <c:strCache>
                <c:ptCount val="7"/>
                <c:pt idx="0">
                  <c:v>Friday</c:v>
                </c:pt>
                <c:pt idx="1">
                  <c:v>Thursday</c:v>
                </c:pt>
                <c:pt idx="2">
                  <c:v>Wednesday</c:v>
                </c:pt>
                <c:pt idx="3">
                  <c:v>Tuesday</c:v>
                </c:pt>
                <c:pt idx="4">
                  <c:v>Monday</c:v>
                </c:pt>
                <c:pt idx="5">
                  <c:v>Saturday</c:v>
                </c:pt>
                <c:pt idx="6">
                  <c:v>Sunday</c:v>
                </c:pt>
              </c:strCache>
            </c:strRef>
          </c:cat>
          <c:val>
            <c:numRef>
              <c:f>'Day Analysis'!$H$2:$H$9</c:f>
              <c:numCache>
                <c:formatCode>General</c:formatCode>
                <c:ptCount val="7"/>
                <c:pt idx="0">
                  <c:v>16444</c:v>
                </c:pt>
                <c:pt idx="1">
                  <c:v>15461</c:v>
                </c:pt>
                <c:pt idx="2">
                  <c:v>14915</c:v>
                </c:pt>
                <c:pt idx="3">
                  <c:v>14897</c:v>
                </c:pt>
                <c:pt idx="4">
                  <c:v>14051</c:v>
                </c:pt>
                <c:pt idx="5">
                  <c:v>13771</c:v>
                </c:pt>
                <c:pt idx="6">
                  <c:v>11388</c:v>
                </c:pt>
              </c:numCache>
            </c:numRef>
          </c:val>
          <c:extLst>
            <c:ext xmlns:c16="http://schemas.microsoft.com/office/drawing/2014/chart" uri="{C3380CC4-5D6E-409C-BE32-E72D297353CC}">
              <c16:uniqueId val="{00000000-2E1C-4CFB-A277-79CC2299FBD0}"/>
            </c:ext>
          </c:extLst>
        </c:ser>
        <c:ser>
          <c:idx val="1"/>
          <c:order val="1"/>
          <c:tx>
            <c:strRef>
              <c:f>'Day Analysis'!$I$1</c:f>
              <c:strCache>
                <c:ptCount val="1"/>
                <c:pt idx="0">
                  <c:v>serious Count</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Analysis'!$G$2:$G$9</c:f>
              <c:strCache>
                <c:ptCount val="7"/>
                <c:pt idx="0">
                  <c:v>Friday</c:v>
                </c:pt>
                <c:pt idx="1">
                  <c:v>Thursday</c:v>
                </c:pt>
                <c:pt idx="2">
                  <c:v>Wednesday</c:v>
                </c:pt>
                <c:pt idx="3">
                  <c:v>Tuesday</c:v>
                </c:pt>
                <c:pt idx="4">
                  <c:v>Monday</c:v>
                </c:pt>
                <c:pt idx="5">
                  <c:v>Saturday</c:v>
                </c:pt>
                <c:pt idx="6">
                  <c:v>Sunday</c:v>
                </c:pt>
              </c:strCache>
            </c:strRef>
          </c:cat>
          <c:val>
            <c:numRef>
              <c:f>'Day Analysis'!$I$2:$I$9</c:f>
              <c:numCache>
                <c:formatCode>General</c:formatCode>
                <c:ptCount val="7"/>
                <c:pt idx="0">
                  <c:v>3773</c:v>
                </c:pt>
                <c:pt idx="1">
                  <c:v>3410</c:v>
                </c:pt>
                <c:pt idx="2">
                  <c:v>3370</c:v>
                </c:pt>
                <c:pt idx="3">
                  <c:v>3275</c:v>
                </c:pt>
                <c:pt idx="4">
                  <c:v>3220</c:v>
                </c:pt>
                <c:pt idx="5">
                  <c:v>3527</c:v>
                </c:pt>
                <c:pt idx="6">
                  <c:v>2992</c:v>
                </c:pt>
              </c:numCache>
            </c:numRef>
          </c:val>
          <c:extLst>
            <c:ext xmlns:c16="http://schemas.microsoft.com/office/drawing/2014/chart" uri="{C3380CC4-5D6E-409C-BE32-E72D297353CC}">
              <c16:uniqueId val="{00000001-2E1C-4CFB-A277-79CC2299FBD0}"/>
            </c:ext>
          </c:extLst>
        </c:ser>
        <c:ser>
          <c:idx val="2"/>
          <c:order val="2"/>
          <c:tx>
            <c:strRef>
              <c:f>'Day Analysis'!$J$1</c:f>
              <c:strCache>
                <c:ptCount val="1"/>
                <c:pt idx="0">
                  <c:v>Fatal Count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Analysis'!$G$2:$G$9</c:f>
              <c:strCache>
                <c:ptCount val="7"/>
                <c:pt idx="0">
                  <c:v>Friday</c:v>
                </c:pt>
                <c:pt idx="1">
                  <c:v>Thursday</c:v>
                </c:pt>
                <c:pt idx="2">
                  <c:v>Wednesday</c:v>
                </c:pt>
                <c:pt idx="3">
                  <c:v>Tuesday</c:v>
                </c:pt>
                <c:pt idx="4">
                  <c:v>Monday</c:v>
                </c:pt>
                <c:pt idx="5">
                  <c:v>Saturday</c:v>
                </c:pt>
                <c:pt idx="6">
                  <c:v>Sunday</c:v>
                </c:pt>
              </c:strCache>
            </c:strRef>
          </c:cat>
          <c:val>
            <c:numRef>
              <c:f>'Day Analysis'!$J$2:$J$9</c:f>
              <c:numCache>
                <c:formatCode>General</c:formatCode>
                <c:ptCount val="7"/>
                <c:pt idx="0">
                  <c:v>219</c:v>
                </c:pt>
                <c:pt idx="1">
                  <c:v>201</c:v>
                </c:pt>
                <c:pt idx="2">
                  <c:v>189</c:v>
                </c:pt>
                <c:pt idx="3">
                  <c:v>216</c:v>
                </c:pt>
                <c:pt idx="4">
                  <c:v>217</c:v>
                </c:pt>
                <c:pt idx="5">
                  <c:v>227</c:v>
                </c:pt>
                <c:pt idx="6">
                  <c:v>233</c:v>
                </c:pt>
              </c:numCache>
            </c:numRef>
          </c:val>
          <c:extLst>
            <c:ext xmlns:c16="http://schemas.microsoft.com/office/drawing/2014/chart" uri="{C3380CC4-5D6E-409C-BE32-E72D297353CC}">
              <c16:uniqueId val="{00000002-2E1C-4CFB-A277-79CC2299FBD0}"/>
            </c:ext>
          </c:extLst>
        </c:ser>
        <c:dLbls>
          <c:showLegendKey val="0"/>
          <c:showVal val="1"/>
          <c:showCatName val="0"/>
          <c:showSerName val="0"/>
          <c:showPercent val="0"/>
          <c:showBubbleSize val="0"/>
        </c:dLbls>
        <c:gapWidth val="182"/>
        <c:axId val="1120883888"/>
        <c:axId val="1120882928"/>
      </c:barChart>
      <c:catAx>
        <c:axId val="1120883888"/>
        <c:scaling>
          <c:orientation val="minMax"/>
        </c:scaling>
        <c:delete val="0"/>
        <c:axPos val="l"/>
        <c:numFmt formatCode="General" sourceLinked="1"/>
        <c:majorTickMark val="none"/>
        <c:minorTickMark val="none"/>
        <c:tickLblPos val="nextTo"/>
        <c:spPr>
          <a:noFill/>
          <a:ln w="9525" cap="flat" cmpd="sng" algn="ctr">
            <a:solidFill>
              <a:schemeClr val="accent1">
                <a:alpha val="96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82928"/>
        <c:crosses val="autoZero"/>
        <c:auto val="0"/>
        <c:lblAlgn val="ctr"/>
        <c:lblOffset val="100"/>
        <c:noMultiLvlLbl val="0"/>
      </c:catAx>
      <c:valAx>
        <c:axId val="112088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8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247651</xdr:colOff>
      <xdr:row>0</xdr:row>
      <xdr:rowOff>19051</xdr:rowOff>
    </xdr:from>
    <xdr:to>
      <xdr:col>12</xdr:col>
      <xdr:colOff>203200</xdr:colOff>
      <xdr:row>12</xdr:row>
      <xdr:rowOff>63500</xdr:rowOff>
    </xdr:to>
    <xdr:graphicFrame macro="">
      <xdr:nvGraphicFramePr>
        <xdr:cNvPr id="3" name="Chart 2">
          <a:extLst>
            <a:ext uri="{FF2B5EF4-FFF2-40B4-BE49-F238E27FC236}">
              <a16:creationId xmlns:a16="http://schemas.microsoft.com/office/drawing/2014/main" id="{568710A4-9871-1528-A390-AB6E28DDC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69850</xdr:colOff>
      <xdr:row>0</xdr:row>
      <xdr:rowOff>0</xdr:rowOff>
    </xdr:from>
    <xdr:to>
      <xdr:col>18</xdr:col>
      <xdr:colOff>25400</xdr:colOff>
      <xdr:row>13</xdr:row>
      <xdr:rowOff>123825</xdr:rowOff>
    </xdr:to>
    <xdr:graphicFrame macro="">
      <xdr:nvGraphicFramePr>
        <xdr:cNvPr id="3" name="Chart 2">
          <a:extLst>
            <a:ext uri="{FF2B5EF4-FFF2-40B4-BE49-F238E27FC236}">
              <a16:creationId xmlns:a16="http://schemas.microsoft.com/office/drawing/2014/main" id="{A6AA1760-19FB-8B35-0A34-D249E6E30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152401</xdr:colOff>
      <xdr:row>4</xdr:row>
      <xdr:rowOff>12700</xdr:rowOff>
    </xdr:from>
    <xdr:to>
      <xdr:col>5</xdr:col>
      <xdr:colOff>101601</xdr:colOff>
      <xdr:row>18</xdr:row>
      <xdr:rowOff>6350</xdr:rowOff>
    </xdr:to>
    <xdr:graphicFrame macro="">
      <xdr:nvGraphicFramePr>
        <xdr:cNvPr id="2" name="Chart 1">
          <a:extLst>
            <a:ext uri="{FF2B5EF4-FFF2-40B4-BE49-F238E27FC236}">
              <a16:creationId xmlns:a16="http://schemas.microsoft.com/office/drawing/2014/main" id="{63FC1954-EE26-4497-A480-E85B97A99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215900</xdr:colOff>
      <xdr:row>4</xdr:row>
      <xdr:rowOff>6350</xdr:rowOff>
    </xdr:from>
    <xdr:to>
      <xdr:col>11</xdr:col>
      <xdr:colOff>584200</xdr:colOff>
      <xdr:row>18</xdr:row>
      <xdr:rowOff>6349</xdr:rowOff>
    </xdr:to>
    <xdr:graphicFrame macro="">
      <xdr:nvGraphicFramePr>
        <xdr:cNvPr id="3" name="Chart 2">
          <a:extLst>
            <a:ext uri="{FF2B5EF4-FFF2-40B4-BE49-F238E27FC236}">
              <a16:creationId xmlns:a16="http://schemas.microsoft.com/office/drawing/2014/main" id="{A2B141F4-F1C3-4C71-9928-BD932A8C0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18</xdr:row>
      <xdr:rowOff>165100</xdr:rowOff>
    </xdr:from>
    <xdr:to>
      <xdr:col>12</xdr:col>
      <xdr:colOff>25400</xdr:colOff>
      <xdr:row>23</xdr:row>
      <xdr:rowOff>158750</xdr:rowOff>
    </xdr:to>
    <xdr:sp macro="" textlink="">
      <xdr:nvSpPr>
        <xdr:cNvPr id="5" name="TextBox 4">
          <a:extLst>
            <a:ext uri="{FF2B5EF4-FFF2-40B4-BE49-F238E27FC236}">
              <a16:creationId xmlns:a16="http://schemas.microsoft.com/office/drawing/2014/main" id="{B299E7FE-9E32-E828-A254-1725D73BF8D7}"/>
            </a:ext>
          </a:extLst>
        </xdr:cNvPr>
        <xdr:cNvSpPr txBox="1"/>
      </xdr:nvSpPr>
      <xdr:spPr>
        <a:xfrm>
          <a:off x="19050" y="3543300"/>
          <a:ext cx="7931150" cy="88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Key Findings:</a:t>
          </a:r>
          <a:br>
            <a:rPr lang="en-GB" sz="1200" b="1"/>
          </a:br>
          <a:r>
            <a:rPr lang="en-GB" sz="1200"/>
            <a:t>1: Friday most dangerous day — 16,444 accidents </a:t>
          </a:r>
          <a:br>
            <a:rPr lang="en-GB" sz="1200"/>
          </a:br>
          <a:r>
            <a:rPr lang="en-GB" sz="1200"/>
            <a:t>2: Rural roads have higher fatal rate despite fewer accidents</a:t>
          </a:r>
          <a:br>
            <a:rPr lang="en-GB" sz="1200"/>
          </a:br>
          <a:r>
            <a:rPr lang="en-GB" sz="1200"/>
            <a:t>3: Drivers aged 26-35 most frequently involved in collisions</a:t>
          </a:r>
          <a:endParaRPr lang="en-GB"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9.587016203703" createdVersion="8" refreshedVersion="8" minRefreshableVersion="3" recordCount="3" xr:uid="{4DC3DBC2-90E3-4CE8-8B50-0D4404D7D063}">
  <cacheSource type="worksheet">
    <worksheetSource name="severity_breakdown"/>
  </cacheSource>
  <cacheFields count="3">
    <cacheField name="severity_type" numFmtId="0">
      <sharedItems count="3">
        <s v="Slight"/>
        <s v="Serious"/>
        <s v="Fatal"/>
      </sharedItems>
    </cacheField>
    <cacheField name="total" numFmtId="0">
      <sharedItems containsSemiMixedTypes="0" containsString="0" containsNumber="1" containsInteger="1" minValue="1502" maxValue="75858"/>
    </cacheField>
    <cacheField name="percentage" numFmtId="0">
      <sharedItems containsSemiMixedTypes="0" containsString="0" containsNumber="1" minValue="1.49" maxValue="75.1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9.621294328703" createdVersion="8" refreshedVersion="8" minRefreshableVersion="3" recordCount="7" xr:uid="{7B6C9221-561E-4D27-B311-15603B9FA24A}">
  <cacheSource type="worksheet">
    <worksheetSource name="day_of_week"/>
  </cacheSource>
  <cacheFields count="5">
    <cacheField name="day_name" numFmtId="0">
      <sharedItems count="7">
        <s v="Friday"/>
        <s v="Thursday"/>
        <s v="Wednesday"/>
        <s v="Tuesday"/>
        <s v="Monday"/>
        <s v="Saturday"/>
        <s v="Sunday"/>
      </sharedItems>
    </cacheField>
    <cacheField name="total_accidents" numFmtId="0">
      <sharedItems containsSemiMixedTypes="0" containsString="0" containsNumber="1" containsInteger="1" minValue="11388" maxValue="16444" count="7">
        <n v="16444"/>
        <n v="15461"/>
        <n v="14915"/>
        <n v="14897"/>
        <n v="14051"/>
        <n v="13771"/>
        <n v="11388"/>
      </sharedItems>
    </cacheField>
    <cacheField name="fatal" numFmtId="0">
      <sharedItems containsSemiMixedTypes="0" containsString="0" containsNumber="1" containsInteger="1" minValue="189" maxValue="233"/>
    </cacheField>
    <cacheField name="serious" numFmtId="0">
      <sharedItems containsSemiMixedTypes="0" containsString="0" containsNumber="1" containsInteger="1" minValue="2992" maxValue="3773"/>
    </cacheField>
    <cacheField name="slight" numFmtId="0">
      <sharedItems containsSemiMixedTypes="0" containsString="0" containsNumber="1" containsInteger="1" minValue="8163" maxValue="124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75858"/>
    <n v="75.16"/>
  </r>
  <r>
    <x v="1"/>
    <n v="23567"/>
    <n v="23.35"/>
  </r>
  <r>
    <x v="2"/>
    <n v="1502"/>
    <n v="1.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219"/>
    <n v="3773"/>
    <n v="12452"/>
  </r>
  <r>
    <x v="1"/>
    <x v="1"/>
    <n v="201"/>
    <n v="3410"/>
    <n v="11850"/>
  </r>
  <r>
    <x v="2"/>
    <x v="2"/>
    <n v="189"/>
    <n v="3370"/>
    <n v="11356"/>
  </r>
  <r>
    <x v="3"/>
    <x v="3"/>
    <n v="216"/>
    <n v="3275"/>
    <n v="11406"/>
  </r>
  <r>
    <x v="4"/>
    <x v="4"/>
    <n v="217"/>
    <n v="3220"/>
    <n v="10614"/>
  </r>
  <r>
    <x v="5"/>
    <x v="5"/>
    <n v="227"/>
    <n v="3527"/>
    <n v="10017"/>
  </r>
  <r>
    <x v="6"/>
    <x v="6"/>
    <n v="233"/>
    <n v="2992"/>
    <n v="81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9014BB-DFDF-46C4-A5D1-9FD3785376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G5" firstHeaderRow="0" firstDataRow="1" firstDataCol="1"/>
  <pivotFields count="3">
    <pivotField axis="axisRow" showAll="0">
      <items count="4">
        <item x="2"/>
        <item x="1"/>
        <item x="0"/>
        <item t="default"/>
      </items>
    </pivotField>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Total Accidents" fld="1" baseField="0" baseItem="0"/>
    <dataField name=" Percentage(%)" fld="2"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0" count="1" selected="0">
            <x v="0"/>
          </reference>
        </references>
      </pivotArea>
    </chartFormat>
    <chartFormat chart="12" format="14">
      <pivotArea type="data" outline="0" fieldPosition="0">
        <references count="2">
          <reference field="4294967294" count="1" selected="0">
            <x v="0"/>
          </reference>
          <reference field="0" count="1" selected="0">
            <x v="1"/>
          </reference>
        </references>
      </pivotArea>
    </chartFormat>
    <chartFormat chart="12" format="15">
      <pivotArea type="data" outline="0" fieldPosition="0">
        <references count="2">
          <reference field="4294967294" count="1" selected="0">
            <x v="0"/>
          </reference>
          <reference field="0" count="1" selected="0">
            <x v="2"/>
          </reference>
        </references>
      </pivotArea>
    </chartFormat>
    <chartFormat chart="12" format="16" series="1">
      <pivotArea type="data" outline="0" fieldPosition="0">
        <references count="1">
          <reference field="4294967294" count="1" selected="0">
            <x v="1"/>
          </reference>
        </references>
      </pivotArea>
    </chartFormat>
    <chartFormat chart="12" format="17">
      <pivotArea type="data" outline="0" fieldPosition="0">
        <references count="2">
          <reference field="4294967294" count="1" selected="0">
            <x v="1"/>
          </reference>
          <reference field="0" count="1" selected="0">
            <x v="0"/>
          </reference>
        </references>
      </pivotArea>
    </chartFormat>
    <chartFormat chart="12" format="18">
      <pivotArea type="data" outline="0" fieldPosition="0">
        <references count="2">
          <reference field="4294967294" count="1" selected="0">
            <x v="1"/>
          </reference>
          <reference field="0" count="1" selected="0">
            <x v="1"/>
          </reference>
        </references>
      </pivotArea>
    </chartFormat>
    <chartFormat chart="12" format="19">
      <pivotArea type="data" outline="0" fieldPosition="0">
        <references count="2">
          <reference field="4294967294" count="1" selected="0">
            <x v="1"/>
          </reference>
          <reference field="0" count="1" selected="0">
            <x v="2"/>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83D79D-E811-470A-B8FF-4F19D42DD0B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J9" firstHeaderRow="0" firstDataRow="1" firstDataCol="1"/>
  <pivotFields count="5">
    <pivotField axis="axisRow" showAll="0" sortType="descending">
      <items count="8">
        <item x="4"/>
        <item x="3"/>
        <item x="2"/>
        <item x="1"/>
        <item x="0"/>
        <item x="5"/>
        <item x="6"/>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 showAll="0"/>
  </pivotFields>
  <rowFields count="1">
    <field x="0"/>
  </rowFields>
  <rowItems count="8">
    <i>
      <x v="4"/>
    </i>
    <i>
      <x v="3"/>
    </i>
    <i>
      <x v="2"/>
    </i>
    <i>
      <x v="1"/>
    </i>
    <i>
      <x/>
    </i>
    <i>
      <x v="5"/>
    </i>
    <i>
      <x v="6"/>
    </i>
    <i t="grand">
      <x/>
    </i>
  </rowItems>
  <colFields count="1">
    <field x="-2"/>
  </colFields>
  <colItems count="3">
    <i>
      <x/>
    </i>
    <i i="1">
      <x v="1"/>
    </i>
    <i i="2">
      <x v="2"/>
    </i>
  </colItems>
  <dataFields count="3">
    <dataField name="Total Accidents Count" fld="1" baseField="0" baseItem="0"/>
    <dataField name="serious Count" fld="3" baseField="0" baseItem="0"/>
    <dataField name="Fatal Count" fld="2"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0" count="1" selected="0">
            <x v="6"/>
          </reference>
        </references>
      </pivotArea>
    </chartFormat>
    <chartFormat chart="8"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2"/>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99558C4-7BB6-4770-87E1-9334F0500728}" autoFormatId="16" applyNumberFormats="0" applyBorderFormats="0" applyFontFormats="0" applyPatternFormats="0" applyAlignmentFormats="0" applyWidthHeightFormats="0">
  <queryTableRefresh nextId="4">
    <queryTableFields count="3">
      <queryTableField id="1" name="severity_type" tableColumnId="1"/>
      <queryTableField id="2" name="total" tableColumnId="2"/>
      <queryTableField id="3" name="percentag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43F5ADA-8D71-4DE9-9948-7300DC70CAAA}" autoFormatId="16" applyNumberFormats="0" applyBorderFormats="0" applyFontFormats="0" applyPatternFormats="0" applyAlignmentFormats="0" applyWidthHeightFormats="0">
  <queryTableRefresh nextId="6">
    <queryTableFields count="5">
      <queryTableField id="1" name="day_name" tableColumnId="1"/>
      <queryTableField id="2" name="total_accidents" tableColumnId="2"/>
      <queryTableField id="3" name="fatal" tableColumnId="3"/>
      <queryTableField id="4" name="serious" tableColumnId="4"/>
      <queryTableField id="5" name="sligh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97FB31-20F7-47E2-94DE-AFF6702F3BE8}" name="severity_breakdown" displayName="severity_breakdown" ref="A1:C4" tableType="queryTable" totalsRowShown="0">
  <autoFilter ref="A1:C4" xr:uid="{D097FB31-20F7-47E2-94DE-AFF6702F3BE8}"/>
  <tableColumns count="3">
    <tableColumn id="1" xr3:uid="{8FB93FD3-B3D8-483C-8854-11110BFFE4E5}" uniqueName="1" name="severity_type" queryTableFieldId="1" dataDxfId="1"/>
    <tableColumn id="2" xr3:uid="{E45AC43F-D59D-4639-8505-49DB081AA918}" uniqueName="2" name="total" queryTableFieldId="2"/>
    <tableColumn id="3" xr3:uid="{CD4BBAD5-059B-4230-967B-C1AEC9D355DD}" uniqueName="3" name="percentage"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50712B-0033-4776-BA50-0D4C2A445374}" name="day_of_week" displayName="day_of_week" ref="A1:E8" tableType="queryTable" totalsRowShown="0">
  <autoFilter ref="A1:E8" xr:uid="{0C50712B-0033-4776-BA50-0D4C2A445374}"/>
  <tableColumns count="5">
    <tableColumn id="1" xr3:uid="{AFD66339-26A5-4AFC-8823-D420A66C4670}" uniqueName="1" name="day_name" queryTableFieldId="1" dataDxfId="0"/>
    <tableColumn id="2" xr3:uid="{B8D69848-B485-44DF-980E-7AFC9818EC49}" uniqueName="2" name="total_accidents" queryTableFieldId="2"/>
    <tableColumn id="3" xr3:uid="{67A713C7-AF6A-4917-A5A1-94498EE73239}" uniqueName="3" name="fatal" queryTableFieldId="3"/>
    <tableColumn id="4" xr3:uid="{E12FB601-D0FE-4EBA-9EE4-65320D455261}" uniqueName="4" name="serious" queryTableFieldId="4"/>
    <tableColumn id="5" xr3:uid="{FEC5DDBD-C8D4-42D9-9F0B-A2EFD5C69E86}" uniqueName="5" name="sligh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E5D4-7AF8-4A52-B945-28593E8BA747}">
  <sheetPr>
    <tabColor theme="3" tint="0.249977111117893"/>
  </sheetPr>
  <dimension ref="A1:H28"/>
  <sheetViews>
    <sheetView showGridLines="0" zoomScale="92" zoomScaleNormal="92" workbookViewId="0">
      <selection activeCell="K26" sqref="K26"/>
    </sheetView>
  </sheetViews>
  <sheetFormatPr defaultRowHeight="14.5" x14ac:dyDescent="0.35"/>
  <cols>
    <col min="1" max="1" width="8.6328125" customWidth="1"/>
    <col min="8" max="8" width="11.26953125" customWidth="1"/>
  </cols>
  <sheetData>
    <row r="1" spans="1:8" ht="26" x14ac:dyDescent="0.6">
      <c r="A1" s="5" t="s">
        <v>18</v>
      </c>
      <c r="B1" s="5"/>
      <c r="C1" s="5"/>
      <c r="D1" s="5"/>
      <c r="E1" s="5"/>
      <c r="F1" s="5"/>
      <c r="G1" s="5"/>
      <c r="H1" s="5"/>
    </row>
    <row r="2" spans="1:8" x14ac:dyDescent="0.35">
      <c r="A2" s="6" t="s">
        <v>19</v>
      </c>
      <c r="B2" s="6"/>
      <c r="C2" s="6"/>
      <c r="D2" s="6"/>
      <c r="E2" s="6"/>
      <c r="F2" s="6"/>
      <c r="G2" s="6"/>
      <c r="H2" s="6"/>
    </row>
    <row r="4" spans="1:8" ht="17" x14ac:dyDescent="0.4">
      <c r="A4" s="7" t="s">
        <v>20</v>
      </c>
      <c r="B4" s="7"/>
      <c r="C4" s="7"/>
      <c r="D4" s="7"/>
      <c r="E4" s="7"/>
      <c r="F4" s="7"/>
      <c r="G4" s="7"/>
      <c r="H4" s="7"/>
    </row>
    <row r="5" spans="1:8" x14ac:dyDescent="0.35">
      <c r="A5" s="8" t="s">
        <v>21</v>
      </c>
      <c r="B5" s="9"/>
      <c r="C5" s="9"/>
      <c r="D5" s="9"/>
      <c r="E5" s="9"/>
      <c r="F5" s="9"/>
      <c r="G5" s="9"/>
      <c r="H5" s="9"/>
    </row>
    <row r="6" spans="1:8" x14ac:dyDescent="0.35">
      <c r="A6" s="9"/>
      <c r="B6" s="9"/>
      <c r="C6" s="9"/>
      <c r="D6" s="9"/>
      <c r="E6" s="9"/>
      <c r="F6" s="9"/>
      <c r="G6" s="9"/>
      <c r="H6" s="9"/>
    </row>
    <row r="7" spans="1:8" x14ac:dyDescent="0.35">
      <c r="A7" s="9"/>
      <c r="B7" s="9"/>
      <c r="C7" s="9"/>
      <c r="D7" s="9"/>
      <c r="E7" s="9"/>
      <c r="F7" s="9"/>
      <c r="G7" s="9"/>
      <c r="H7" s="9"/>
    </row>
    <row r="8" spans="1:8" x14ac:dyDescent="0.35">
      <c r="E8" s="2"/>
    </row>
    <row r="9" spans="1:8" ht="17" x14ac:dyDescent="0.4">
      <c r="A9" s="7" t="s">
        <v>22</v>
      </c>
      <c r="B9" s="7"/>
      <c r="C9" s="7"/>
      <c r="D9" s="7"/>
      <c r="E9" s="7"/>
      <c r="F9" s="7"/>
      <c r="G9" s="7"/>
      <c r="H9" s="7"/>
    </row>
    <row r="10" spans="1:8" ht="30" customHeight="1" x14ac:dyDescent="0.35">
      <c r="A10" s="8" t="s">
        <v>24</v>
      </c>
      <c r="B10" s="9"/>
      <c r="C10" s="9"/>
      <c r="D10" s="9"/>
      <c r="E10" s="9"/>
      <c r="F10" s="9"/>
      <c r="G10" s="9"/>
      <c r="H10" s="9"/>
    </row>
    <row r="11" spans="1:8" ht="30" customHeight="1" x14ac:dyDescent="0.35">
      <c r="A11" s="9"/>
      <c r="B11" s="9"/>
      <c r="C11" s="9"/>
      <c r="D11" s="9"/>
      <c r="E11" s="9"/>
      <c r="F11" s="9"/>
      <c r="G11" s="9"/>
      <c r="H11" s="9"/>
    </row>
    <row r="12" spans="1:8" ht="30" customHeight="1" x14ac:dyDescent="0.35">
      <c r="A12" s="9"/>
      <c r="B12" s="9"/>
      <c r="C12" s="9"/>
      <c r="D12" s="9"/>
      <c r="E12" s="9"/>
      <c r="F12" s="9"/>
      <c r="G12" s="9"/>
      <c r="H12" s="9"/>
    </row>
    <row r="13" spans="1:8" ht="30" customHeight="1" x14ac:dyDescent="0.35">
      <c r="A13" s="9"/>
      <c r="B13" s="9"/>
      <c r="C13" s="9"/>
      <c r="D13" s="9"/>
      <c r="E13" s="9"/>
      <c r="F13" s="9"/>
      <c r="G13" s="9"/>
      <c r="H13" s="9"/>
    </row>
    <row r="14" spans="1:8" ht="30" customHeight="1" x14ac:dyDescent="0.35">
      <c r="A14" s="9"/>
      <c r="B14" s="9"/>
      <c r="C14" s="9"/>
      <c r="D14" s="9"/>
      <c r="E14" s="9"/>
      <c r="F14" s="9"/>
      <c r="G14" s="9"/>
      <c r="H14" s="9"/>
    </row>
    <row r="15" spans="1:8" ht="30" customHeight="1" x14ac:dyDescent="0.35">
      <c r="A15" s="9"/>
      <c r="B15" s="9"/>
      <c r="C15" s="9"/>
      <c r="D15" s="9"/>
      <c r="E15" s="9"/>
      <c r="F15" s="9"/>
      <c r="G15" s="9"/>
      <c r="H15" s="9"/>
    </row>
    <row r="16" spans="1:8" ht="30" customHeight="1" x14ac:dyDescent="0.35">
      <c r="A16" s="9"/>
      <c r="B16" s="9"/>
      <c r="C16" s="9"/>
      <c r="D16" s="9"/>
      <c r="E16" s="9"/>
      <c r="F16" s="9"/>
      <c r="G16" s="9"/>
      <c r="H16" s="9"/>
    </row>
    <row r="18" spans="1:8" ht="17" x14ac:dyDescent="0.4">
      <c r="A18" s="7" t="s">
        <v>23</v>
      </c>
      <c r="B18" s="7"/>
      <c r="C18" s="7"/>
      <c r="D18" s="7"/>
      <c r="E18" s="7"/>
      <c r="F18" s="7"/>
      <c r="G18" s="7"/>
      <c r="H18" s="7"/>
    </row>
    <row r="19" spans="1:8" ht="15" customHeight="1" x14ac:dyDescent="0.35">
      <c r="A19" s="8" t="s">
        <v>25</v>
      </c>
      <c r="B19" s="9"/>
      <c r="C19" s="9"/>
      <c r="D19" s="9"/>
      <c r="E19" s="9"/>
      <c r="F19" s="9"/>
      <c r="G19" s="9"/>
      <c r="H19" s="9"/>
    </row>
    <row r="20" spans="1:8" ht="15" customHeight="1" x14ac:dyDescent="0.35">
      <c r="A20" s="9"/>
      <c r="B20" s="9"/>
      <c r="C20" s="9"/>
      <c r="D20" s="9"/>
      <c r="E20" s="9"/>
      <c r="F20" s="9"/>
      <c r="G20" s="9"/>
      <c r="H20" s="9"/>
    </row>
    <row r="21" spans="1:8" ht="15" customHeight="1" x14ac:dyDescent="0.35">
      <c r="A21" s="9"/>
      <c r="B21" s="9"/>
      <c r="C21" s="9"/>
      <c r="D21" s="9"/>
      <c r="E21" s="9"/>
      <c r="F21" s="9"/>
      <c r="G21" s="9"/>
      <c r="H21" s="9"/>
    </row>
    <row r="22" spans="1:8" ht="15" customHeight="1" x14ac:dyDescent="0.35">
      <c r="A22" s="9"/>
      <c r="B22" s="9"/>
      <c r="C22" s="9"/>
      <c r="D22" s="9"/>
      <c r="E22" s="9"/>
      <c r="F22" s="9"/>
      <c r="G22" s="9"/>
      <c r="H22" s="9"/>
    </row>
    <row r="23" spans="1:8" ht="15" customHeight="1" x14ac:dyDescent="0.35">
      <c r="A23" s="9"/>
      <c r="B23" s="9"/>
      <c r="C23" s="9"/>
      <c r="D23" s="9"/>
      <c r="E23" s="9"/>
      <c r="F23" s="9"/>
      <c r="G23" s="9"/>
      <c r="H23" s="9"/>
    </row>
    <row r="25" spans="1:8" ht="17" x14ac:dyDescent="0.4">
      <c r="A25" s="7" t="s">
        <v>26</v>
      </c>
      <c r="B25" s="7"/>
      <c r="C25" s="7"/>
      <c r="D25" s="7"/>
      <c r="E25" s="7"/>
      <c r="F25" s="7"/>
      <c r="G25" s="7"/>
      <c r="H25" s="7"/>
    </row>
    <row r="26" spans="1:8" ht="25" customHeight="1" x14ac:dyDescent="0.35">
      <c r="A26" s="8" t="s">
        <v>40</v>
      </c>
      <c r="B26" s="9"/>
      <c r="C26" s="9"/>
      <c r="D26" s="9"/>
      <c r="E26" s="9"/>
      <c r="F26" s="9"/>
      <c r="G26" s="9"/>
      <c r="H26" s="9"/>
    </row>
    <row r="27" spans="1:8" ht="25" customHeight="1" x14ac:dyDescent="0.35">
      <c r="A27" s="9"/>
      <c r="B27" s="9"/>
      <c r="C27" s="9"/>
      <c r="D27" s="9"/>
      <c r="E27" s="9"/>
      <c r="F27" s="9"/>
      <c r="G27" s="9"/>
      <c r="H27" s="9"/>
    </row>
    <row r="28" spans="1:8" ht="25" customHeight="1" x14ac:dyDescent="0.35">
      <c r="A28" s="9"/>
      <c r="B28" s="9"/>
      <c r="C28" s="9"/>
      <c r="D28" s="9"/>
      <c r="E28" s="9"/>
      <c r="F28" s="9"/>
      <c r="G28" s="9"/>
      <c r="H28" s="9"/>
    </row>
  </sheetData>
  <mergeCells count="10">
    <mergeCell ref="A10:H16"/>
    <mergeCell ref="A18:H18"/>
    <mergeCell ref="A19:H23"/>
    <mergeCell ref="A25:H25"/>
    <mergeCell ref="A26:H28"/>
    <mergeCell ref="A1:H1"/>
    <mergeCell ref="A2:H2"/>
    <mergeCell ref="A4:H4"/>
    <mergeCell ref="A5:H7"/>
    <mergeCell ref="A9:H9"/>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D0CD-DC46-41BF-99C7-5CC774DBCD97}">
  <sheetPr>
    <tabColor rgb="FFFF0000"/>
  </sheetPr>
  <dimension ref="A1:G5"/>
  <sheetViews>
    <sheetView showGridLines="0" workbookViewId="0">
      <selection activeCell="G17" sqref="G17"/>
    </sheetView>
  </sheetViews>
  <sheetFormatPr defaultRowHeight="14.5" x14ac:dyDescent="0.35"/>
  <cols>
    <col min="1" max="1" width="14.08984375" bestFit="1" customWidth="1"/>
    <col min="2" max="2" width="6.453125" bestFit="1" customWidth="1"/>
    <col min="3" max="3" width="12.36328125" bestFit="1" customWidth="1"/>
    <col min="5" max="5" width="12.90625" bestFit="1" customWidth="1"/>
    <col min="6" max="6" width="14.08984375" bestFit="1" customWidth="1"/>
    <col min="7" max="7" width="13.6328125" bestFit="1" customWidth="1"/>
  </cols>
  <sheetData>
    <row r="1" spans="1:7" x14ac:dyDescent="0.35">
      <c r="A1" t="s">
        <v>0</v>
      </c>
      <c r="B1" t="s">
        <v>1</v>
      </c>
      <c r="C1" t="s">
        <v>2</v>
      </c>
      <c r="E1" s="3" t="s">
        <v>27</v>
      </c>
      <c r="F1" t="s">
        <v>29</v>
      </c>
      <c r="G1" t="s">
        <v>30</v>
      </c>
    </row>
    <row r="2" spans="1:7" x14ac:dyDescent="0.35">
      <c r="A2" t="s">
        <v>3</v>
      </c>
      <c r="B2">
        <v>75858</v>
      </c>
      <c r="C2">
        <v>75.16</v>
      </c>
      <c r="E2" s="1" t="s">
        <v>5</v>
      </c>
      <c r="F2">
        <v>1502</v>
      </c>
      <c r="G2">
        <v>1.49</v>
      </c>
    </row>
    <row r="3" spans="1:7" x14ac:dyDescent="0.35">
      <c r="A3" t="s">
        <v>4</v>
      </c>
      <c r="B3">
        <v>23567</v>
      </c>
      <c r="C3">
        <v>23.35</v>
      </c>
      <c r="E3" s="1" t="s">
        <v>4</v>
      </c>
      <c r="F3">
        <v>23567</v>
      </c>
      <c r="G3">
        <v>23.35</v>
      </c>
    </row>
    <row r="4" spans="1:7" x14ac:dyDescent="0.35">
      <c r="A4" t="s">
        <v>5</v>
      </c>
      <c r="B4">
        <v>1502</v>
      </c>
      <c r="C4">
        <v>1.49</v>
      </c>
      <c r="E4" s="1" t="s">
        <v>3</v>
      </c>
      <c r="F4">
        <v>75858</v>
      </c>
      <c r="G4">
        <v>75.16</v>
      </c>
    </row>
    <row r="5" spans="1:7" x14ac:dyDescent="0.35">
      <c r="E5" s="1" t="s">
        <v>28</v>
      </c>
      <c r="F5">
        <v>100927</v>
      </c>
      <c r="G5">
        <v>100</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22D8B-73CC-40F3-AF9B-1DD6965DF753}">
  <sheetPr>
    <tabColor theme="3" tint="0.749992370372631"/>
  </sheetPr>
  <dimension ref="A1:J9"/>
  <sheetViews>
    <sheetView showGridLines="0" zoomScale="89" zoomScaleNormal="89" workbookViewId="0">
      <selection activeCell="I12" sqref="I12"/>
    </sheetView>
  </sheetViews>
  <sheetFormatPr defaultRowHeight="14.5" x14ac:dyDescent="0.35"/>
  <cols>
    <col min="1" max="1" width="11.453125" bestFit="1" customWidth="1"/>
    <col min="2" max="2" width="15.7265625" bestFit="1" customWidth="1"/>
    <col min="3" max="3" width="6.453125" bestFit="1" customWidth="1"/>
    <col min="4" max="4" width="9.08984375" bestFit="1" customWidth="1"/>
    <col min="5" max="5" width="7.453125" bestFit="1" customWidth="1"/>
    <col min="7" max="7" width="12.453125" bestFit="1" customWidth="1"/>
    <col min="8" max="8" width="19.26953125" bestFit="1" customWidth="1"/>
    <col min="9" max="9" width="12.36328125" bestFit="1" customWidth="1"/>
    <col min="10" max="10" width="10.453125" bestFit="1" customWidth="1"/>
  </cols>
  <sheetData>
    <row r="1" spans="1:10" x14ac:dyDescent="0.35">
      <c r="A1" t="s">
        <v>6</v>
      </c>
      <c r="B1" t="s">
        <v>7</v>
      </c>
      <c r="C1" t="s">
        <v>8</v>
      </c>
      <c r="D1" t="s">
        <v>9</v>
      </c>
      <c r="E1" t="s">
        <v>10</v>
      </c>
      <c r="G1" s="3" t="s">
        <v>27</v>
      </c>
      <c r="H1" t="s">
        <v>32</v>
      </c>
      <c r="I1" t="s">
        <v>31</v>
      </c>
      <c r="J1" t="s">
        <v>33</v>
      </c>
    </row>
    <row r="2" spans="1:10" x14ac:dyDescent="0.35">
      <c r="A2" t="s">
        <v>11</v>
      </c>
      <c r="B2">
        <v>16444</v>
      </c>
      <c r="C2">
        <v>219</v>
      </c>
      <c r="D2">
        <v>3773</v>
      </c>
      <c r="E2">
        <v>12452</v>
      </c>
      <c r="G2" s="1" t="s">
        <v>11</v>
      </c>
      <c r="H2">
        <v>16444</v>
      </c>
      <c r="I2">
        <v>3773</v>
      </c>
      <c r="J2">
        <v>219</v>
      </c>
    </row>
    <row r="3" spans="1:10" x14ac:dyDescent="0.35">
      <c r="A3" t="s">
        <v>12</v>
      </c>
      <c r="B3">
        <v>15461</v>
      </c>
      <c r="C3">
        <v>201</v>
      </c>
      <c r="D3">
        <v>3410</v>
      </c>
      <c r="E3">
        <v>11850</v>
      </c>
      <c r="G3" s="1" t="s">
        <v>12</v>
      </c>
      <c r="H3">
        <v>15461</v>
      </c>
      <c r="I3">
        <v>3410</v>
      </c>
      <c r="J3">
        <v>201</v>
      </c>
    </row>
    <row r="4" spans="1:10" x14ac:dyDescent="0.35">
      <c r="A4" t="s">
        <v>13</v>
      </c>
      <c r="B4">
        <v>14915</v>
      </c>
      <c r="C4">
        <v>189</v>
      </c>
      <c r="D4">
        <v>3370</v>
      </c>
      <c r="E4">
        <v>11356</v>
      </c>
      <c r="G4" s="1" t="s">
        <v>13</v>
      </c>
      <c r="H4">
        <v>14915</v>
      </c>
      <c r="I4">
        <v>3370</v>
      </c>
      <c r="J4">
        <v>189</v>
      </c>
    </row>
    <row r="5" spans="1:10" x14ac:dyDescent="0.35">
      <c r="A5" t="s">
        <v>14</v>
      </c>
      <c r="B5">
        <v>14897</v>
      </c>
      <c r="C5">
        <v>216</v>
      </c>
      <c r="D5">
        <v>3275</v>
      </c>
      <c r="E5">
        <v>11406</v>
      </c>
      <c r="G5" s="1" t="s">
        <v>14</v>
      </c>
      <c r="H5">
        <v>14897</v>
      </c>
      <c r="I5">
        <v>3275</v>
      </c>
      <c r="J5">
        <v>216</v>
      </c>
    </row>
    <row r="6" spans="1:10" x14ac:dyDescent="0.35">
      <c r="A6" t="s">
        <v>15</v>
      </c>
      <c r="B6">
        <v>14051</v>
      </c>
      <c r="C6">
        <v>217</v>
      </c>
      <c r="D6">
        <v>3220</v>
      </c>
      <c r="E6">
        <v>10614</v>
      </c>
      <c r="G6" s="1" t="s">
        <v>15</v>
      </c>
      <c r="H6">
        <v>14051</v>
      </c>
      <c r="I6">
        <v>3220</v>
      </c>
      <c r="J6">
        <v>217</v>
      </c>
    </row>
    <row r="7" spans="1:10" x14ac:dyDescent="0.35">
      <c r="A7" t="s">
        <v>16</v>
      </c>
      <c r="B7">
        <v>13771</v>
      </c>
      <c r="C7">
        <v>227</v>
      </c>
      <c r="D7">
        <v>3527</v>
      </c>
      <c r="E7">
        <v>10017</v>
      </c>
      <c r="G7" s="1" t="s">
        <v>16</v>
      </c>
      <c r="H7">
        <v>13771</v>
      </c>
      <c r="I7">
        <v>3527</v>
      </c>
      <c r="J7">
        <v>227</v>
      </c>
    </row>
    <row r="8" spans="1:10" x14ac:dyDescent="0.35">
      <c r="A8" t="s">
        <v>17</v>
      </c>
      <c r="B8">
        <v>11388</v>
      </c>
      <c r="C8">
        <v>233</v>
      </c>
      <c r="D8">
        <v>2992</v>
      </c>
      <c r="E8">
        <v>8163</v>
      </c>
      <c r="G8" s="1" t="s">
        <v>17</v>
      </c>
      <c r="H8">
        <v>11388</v>
      </c>
      <c r="I8">
        <v>2992</v>
      </c>
      <c r="J8">
        <v>233</v>
      </c>
    </row>
    <row r="9" spans="1:10" x14ac:dyDescent="0.35">
      <c r="G9" s="1" t="s">
        <v>28</v>
      </c>
      <c r="H9">
        <v>100927</v>
      </c>
      <c r="I9">
        <v>23567</v>
      </c>
      <c r="J9">
        <v>1502</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54EFC-4881-470C-B494-B06B17EA6E99}">
  <sheetPr>
    <tabColor rgb="FF00B050"/>
  </sheetPr>
  <dimension ref="A1:L3"/>
  <sheetViews>
    <sheetView showGridLines="0" tabSelected="1" zoomScale="98" zoomScaleNormal="98" workbookViewId="0">
      <selection activeCell="M7" sqref="M7"/>
    </sheetView>
  </sheetViews>
  <sheetFormatPr defaultRowHeight="14.5" x14ac:dyDescent="0.35"/>
  <cols>
    <col min="7" max="7" width="10.7265625" customWidth="1"/>
  </cols>
  <sheetData>
    <row r="1" spans="1:12" ht="24" customHeight="1" x14ac:dyDescent="0.6">
      <c r="A1" s="12" t="s">
        <v>34</v>
      </c>
      <c r="B1" s="12"/>
      <c r="C1" s="12"/>
      <c r="D1" s="12"/>
      <c r="E1" s="12"/>
      <c r="F1" s="12"/>
      <c r="G1" s="12"/>
      <c r="H1" s="12"/>
      <c r="I1" s="12"/>
      <c r="J1" s="12"/>
      <c r="K1" s="12"/>
      <c r="L1" s="4"/>
    </row>
    <row r="2" spans="1:12" ht="16" customHeight="1" x14ac:dyDescent="0.35">
      <c r="B2" s="10" t="s">
        <v>35</v>
      </c>
      <c r="C2" s="10"/>
      <c r="D2" s="10" t="s">
        <v>36</v>
      </c>
      <c r="E2" s="11"/>
      <c r="F2" s="10" t="s">
        <v>37</v>
      </c>
      <c r="G2" s="11"/>
      <c r="H2" s="10" t="s">
        <v>38</v>
      </c>
      <c r="I2" s="11"/>
      <c r="J2" s="10" t="s">
        <v>39</v>
      </c>
      <c r="K2" s="11"/>
    </row>
    <row r="3" spans="1:12" ht="16" customHeight="1" x14ac:dyDescent="0.35">
      <c r="B3" s="10"/>
      <c r="C3" s="10"/>
      <c r="D3" s="11"/>
      <c r="E3" s="11"/>
      <c r="F3" s="11"/>
      <c r="G3" s="11"/>
      <c r="H3" s="11"/>
      <c r="I3" s="11"/>
      <c r="J3" s="11"/>
      <c r="K3" s="11"/>
    </row>
  </sheetData>
  <mergeCells count="6">
    <mergeCell ref="B2:C3"/>
    <mergeCell ref="D2:E3"/>
    <mergeCell ref="A1:K1"/>
    <mergeCell ref="F2:G3"/>
    <mergeCell ref="H2:I3"/>
    <mergeCell ref="J2:K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0E82BF-ED3D-4515-B0D2-B1F6E05C29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Severity Analysis</vt:lpstr>
      <vt:lpstr>Day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Subashini V</dc:creator>
  <cp:lastModifiedBy>Subashini V</cp:lastModifiedBy>
  <dcterms:created xsi:type="dcterms:W3CDTF">2026-05-27T11:54:42Z</dcterms:created>
  <dcterms:modified xsi:type="dcterms:W3CDTF">2026-05-30T15:04:33Z</dcterms:modified>
</cp:coreProperties>
</file>